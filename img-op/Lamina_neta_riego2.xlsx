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64613129-981D-4379-B263-4164E8D67D55}" xr6:coauthVersionLast="47" xr6:coauthVersionMax="47" xr10:uidLastSave="{00000000-0000-0000-0000-000000000000}"/>
  <bookViews>
    <workbookView xWindow="-120" yWindow="-120" windowWidth="20730" windowHeight="11040" xr2:uid="{CD4DBD7D-E765-41AF-8F87-6A29F8DB0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B13" i="1"/>
  <c r="B14" i="1"/>
  <c r="B15" i="1"/>
  <c r="B16" i="1"/>
  <c r="B12" i="1"/>
  <c r="F3" i="1"/>
  <c r="G3" i="1"/>
  <c r="G2" i="1"/>
  <c r="G4" i="1"/>
  <c r="G5" i="1"/>
  <c r="G6" i="1"/>
  <c r="H6" i="1" s="1"/>
  <c r="G7" i="1"/>
  <c r="H7" i="1" s="1"/>
  <c r="G8" i="1"/>
  <c r="G9" i="1"/>
  <c r="F2" i="1"/>
  <c r="H2" i="1"/>
  <c r="F7" i="1"/>
  <c r="F6" i="1"/>
  <c r="F8" i="1"/>
  <c r="F9" i="1"/>
  <c r="H4" i="1"/>
  <c r="F4" i="1"/>
  <c r="F5" i="1"/>
  <c r="D2" i="1"/>
  <c r="D3" i="1"/>
  <c r="H3" i="1" s="1"/>
  <c r="B19" i="1" l="1"/>
  <c r="I6" i="1"/>
  <c r="H9" i="1"/>
  <c r="H5" i="1"/>
  <c r="I4" i="1" s="1"/>
  <c r="H8" i="1"/>
  <c r="I2" i="1"/>
  <c r="I8" i="1" l="1"/>
  <c r="I10" i="1"/>
</calcChain>
</file>

<file path=xl/sharedStrings.xml><?xml version="1.0" encoding="utf-8"?>
<sst xmlns="http://schemas.openxmlformats.org/spreadsheetml/2006/main" count="16" uniqueCount="13">
  <si>
    <t>Prom</t>
  </si>
  <si>
    <t>DIA</t>
  </si>
  <si>
    <t>Mw</t>
  </si>
  <si>
    <t>Qm (g/g) CC</t>
  </si>
  <si>
    <t>Ms</t>
  </si>
  <si>
    <t>Rec+Ms</t>
  </si>
  <si>
    <t>PRec + Mw</t>
  </si>
  <si>
    <t>Recipiente</t>
  </si>
  <si>
    <t>prueba</t>
  </si>
  <si>
    <t>No. Muestras</t>
  </si>
  <si>
    <t>Valor CC</t>
  </si>
  <si>
    <t>g/g</t>
  </si>
  <si>
    <t>Valor PMP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</si>
</sst>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/>
    <xf numFmtId="0" fontId="0" fillId="3" borderId="1" xfId="0" applyFill="1" applyBorder="1"/>
    <xf numFmtId="0" fontId="0" fillId="3" borderId="1" xfId="0" applyFont="1" applyFill="1" applyBorder="1"/>
    <xf numFmtId="43" fontId="0" fillId="0" borderId="1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Grafica</a:t>
            </a:r>
            <a:r>
              <a:rPr lang="es-EC" baseline="0"/>
              <a:t> 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755443886097153"/>
                  <c:y val="-0.279349345508224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yVal>
            <c:numRef>
              <c:f>Hoja1!$H$2:$H$9</c:f>
              <c:numCache>
                <c:formatCode>0.00</c:formatCode>
                <c:ptCount val="8"/>
                <c:pt idx="0">
                  <c:v>1.1428571428571441</c:v>
                </c:pt>
                <c:pt idx="1">
                  <c:v>1.7867647058823535</c:v>
                </c:pt>
                <c:pt idx="2">
                  <c:v>3.7272727272727297</c:v>
                </c:pt>
                <c:pt idx="3">
                  <c:v>1.9456193353474343</c:v>
                </c:pt>
                <c:pt idx="4">
                  <c:v>1.460620525059666</c:v>
                </c:pt>
                <c:pt idx="5">
                  <c:v>1.4567307692307692</c:v>
                </c:pt>
                <c:pt idx="6">
                  <c:v>1.1815286624203822</c:v>
                </c:pt>
                <c:pt idx="7">
                  <c:v>1.1289682539682537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CB-489D-AADC-FFB73E15B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600544"/>
        <c:axId val="616602624"/>
      </c:scatterChart>
      <c:valAx>
        <c:axId val="61660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6602624"/>
        <c:crosses val="autoZero"/>
        <c:crossBetween val="midCat"/>
      </c:valAx>
      <c:valAx>
        <c:axId val="61660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660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Grafica</a:t>
            </a:r>
            <a:r>
              <a:rPr lang="es-EC" baseline="0"/>
              <a:t> solo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8753827206694129E-2"/>
                  <c:y val="0.130518339177435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yVal>
            <c:numRef>
              <c:f>Hoja1!$K$2:$K$8</c:f>
              <c:numCache>
                <c:formatCode>0.00</c:formatCode>
                <c:ptCount val="7"/>
                <c:pt idx="0">
                  <c:v>0.14285714285714399</c:v>
                </c:pt>
                <c:pt idx="1">
                  <c:v>0.78676470588235348</c:v>
                </c:pt>
                <c:pt idx="2">
                  <c:v>0.94561933534743414</c:v>
                </c:pt>
                <c:pt idx="3">
                  <c:v>0.69928400954653969</c:v>
                </c:pt>
                <c:pt idx="4">
                  <c:v>0.60096153846153899</c:v>
                </c:pt>
                <c:pt idx="5">
                  <c:v>0.18152866242038224</c:v>
                </c:pt>
                <c:pt idx="6">
                  <c:v>0.1289682539682537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AE-4A02-AC24-5C75B3F4E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254112"/>
        <c:axId val="613254528"/>
      </c:scatterChart>
      <c:valAx>
        <c:axId val="6132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3254528"/>
        <c:crosses val="autoZero"/>
        <c:crossBetween val="midCat"/>
      </c:valAx>
      <c:valAx>
        <c:axId val="61325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325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638176</xdr:colOff>
      <xdr:row>11</xdr:row>
      <xdr:rowOff>19049</xdr:rowOff>
    </xdr:from>
    <xdr:to>
      <xdr:col>9</xdr:col>
      <xdr:colOff>466725</xdr:colOff>
      <xdr:row>21</xdr:row>
      <xdr:rowOff>109536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158E11-32DC-40AC-84A3-858787012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771525</xdr:colOff>
      <xdr:row>8</xdr:row>
      <xdr:rowOff>28575</xdr:rowOff>
    </xdr:from>
    <xdr:to>
      <xdr:col>13</xdr:col>
      <xdr:colOff>161926</xdr:colOff>
      <xdr:row>18</xdr:row>
      <xdr:rowOff>152401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62CB2B-9B40-48D1-A731-0A6832592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61E5-5823-438A-885C-9BA01F02D304}">
  <dimension ref="A1:K19"/>
  <sheetViews>
    <sheetView tabSelected="1" topLeftCell="A4" workbookViewId="0">
      <selection activeCell="C23" sqref="C23"/>
    </sheetView>
  </sheetViews>
  <sheetFormatPr baseColWidth="10" defaultRowHeight="15" x14ac:dyDescent="0.25"/>
  <cols>
    <col min="1" max="1" width="10.5703125" customWidth="1"/>
    <col min="2" max="2" width="7.140625" customWidth="1"/>
    <col min="3" max="3" width="10" customWidth="1"/>
    <col min="4" max="4" width="10.140625" customWidth="1"/>
    <col min="5" max="5" width="7.7109375" customWidth="1"/>
    <col min="6" max="7" width="5" customWidth="1"/>
    <col min="8" max="8" width="12.140625" customWidth="1"/>
    <col min="9" max="9" width="8" customWidth="1"/>
    <col min="10" max="10" width="15.5703125" customWidth="1"/>
    <col min="11" max="11" width="8.85546875" customWidth="1"/>
    <col min="12" max="12" width="14.28515625" customWidth="1"/>
    <col min="13" max="13" width="20.28515625" customWidth="1"/>
  </cols>
  <sheetData>
    <row r="1" spans="1:11" x14ac:dyDescent="0.25">
      <c r="A1" s="9" t="s">
        <v>1</v>
      </c>
      <c r="B1" s="9" t="s">
        <v>8</v>
      </c>
      <c r="C1" s="9" t="s">
        <v>7</v>
      </c>
      <c r="D1" s="10" t="s">
        <v>6</v>
      </c>
      <c r="E1" s="10" t="s">
        <v>5</v>
      </c>
      <c r="F1" s="10" t="s">
        <v>4</v>
      </c>
      <c r="G1" s="10" t="s">
        <v>2</v>
      </c>
      <c r="H1" s="10" t="s">
        <v>3</v>
      </c>
      <c r="I1" s="10" t="s">
        <v>0</v>
      </c>
    </row>
    <row r="2" spans="1:11" x14ac:dyDescent="0.25">
      <c r="A2" s="4">
        <v>1</v>
      </c>
      <c r="B2" s="5">
        <v>1</v>
      </c>
      <c r="C2" s="2">
        <v>38.54</v>
      </c>
      <c r="D2" s="2">
        <f>C2+1.92</f>
        <v>40.46</v>
      </c>
      <c r="E2" s="2">
        <v>40.22</v>
      </c>
      <c r="F2" s="2">
        <f>E2-C2</f>
        <v>1.6799999999999997</v>
      </c>
      <c r="G2" s="2">
        <f>D2-C2</f>
        <v>1.9200000000000017</v>
      </c>
      <c r="H2" s="6">
        <f>G2/F2</f>
        <v>1.1428571428571441</v>
      </c>
      <c r="I2" s="7">
        <f>AVERAGE(H2:H3)</f>
        <v>1.4648109243697487</v>
      </c>
      <c r="K2" s="1">
        <v>0.14285714285714399</v>
      </c>
    </row>
    <row r="3" spans="1:11" x14ac:dyDescent="0.25">
      <c r="A3" s="4"/>
      <c r="B3" s="5">
        <v>2</v>
      </c>
      <c r="C3" s="2">
        <v>35.85</v>
      </c>
      <c r="D3" s="2">
        <f>C3+2.43</f>
        <v>38.28</v>
      </c>
      <c r="E3" s="2">
        <v>37.21</v>
      </c>
      <c r="F3" s="2">
        <f>E3-C3</f>
        <v>1.3599999999999994</v>
      </c>
      <c r="G3" s="2">
        <f>D3-C3</f>
        <v>2.4299999999999997</v>
      </c>
      <c r="H3" s="6">
        <f>G3/F3</f>
        <v>1.7867647058823535</v>
      </c>
      <c r="I3" s="7"/>
      <c r="K3" s="1">
        <v>0.78676470588235348</v>
      </c>
    </row>
    <row r="4" spans="1:11" x14ac:dyDescent="0.25">
      <c r="A4" s="4">
        <v>2</v>
      </c>
      <c r="B4" s="5">
        <v>1</v>
      </c>
      <c r="C4" s="2">
        <v>38.54</v>
      </c>
      <c r="D4" s="2">
        <v>44.69</v>
      </c>
      <c r="E4" s="2">
        <v>40.19</v>
      </c>
      <c r="F4" s="2">
        <f>E4-C4</f>
        <v>1.6499999999999986</v>
      </c>
      <c r="G4" s="2">
        <f t="shared" ref="G3:G9" si="0">D4-C4</f>
        <v>6.1499999999999986</v>
      </c>
      <c r="H4" s="8">
        <f t="shared" ref="H4:H9" si="1">G4/F4</f>
        <v>3.7272727272727297</v>
      </c>
      <c r="I4" s="7">
        <f>AVERAGE(H5)</f>
        <v>1.9456193353474343</v>
      </c>
      <c r="K4" s="1">
        <v>0.94561933534743414</v>
      </c>
    </row>
    <row r="5" spans="1:11" x14ac:dyDescent="0.25">
      <c r="A5" s="4"/>
      <c r="B5" s="5">
        <v>2</v>
      </c>
      <c r="C5" s="2">
        <v>35.85</v>
      </c>
      <c r="D5" s="2">
        <v>42.29</v>
      </c>
      <c r="E5" s="2">
        <v>39.159999999999997</v>
      </c>
      <c r="F5" s="2">
        <f t="shared" ref="F5:F9" si="2">E5-C5</f>
        <v>3.3099999999999952</v>
      </c>
      <c r="G5" s="2">
        <f t="shared" si="0"/>
        <v>6.4399999999999977</v>
      </c>
      <c r="H5" s="6">
        <f t="shared" si="1"/>
        <v>1.9456193353474343</v>
      </c>
      <c r="I5" s="7"/>
      <c r="K5" s="1">
        <v>0.69928400954653969</v>
      </c>
    </row>
    <row r="6" spans="1:11" x14ac:dyDescent="0.25">
      <c r="A6" s="4">
        <v>3</v>
      </c>
      <c r="B6" s="5">
        <v>1</v>
      </c>
      <c r="C6" s="2">
        <v>38.54</v>
      </c>
      <c r="D6" s="2">
        <v>44.66</v>
      </c>
      <c r="E6" s="2">
        <v>42.73</v>
      </c>
      <c r="F6" s="2">
        <f t="shared" si="2"/>
        <v>4.1899999999999977</v>
      </c>
      <c r="G6" s="2">
        <f t="shared" si="0"/>
        <v>6.1199999999999974</v>
      </c>
      <c r="H6" s="6">
        <f>G6/F6</f>
        <v>1.460620525059666</v>
      </c>
      <c r="I6" s="7">
        <f>AVERAGE(H6:H7)</f>
        <v>1.4586756471452176</v>
      </c>
      <c r="K6" s="1">
        <v>0.60096153846153899</v>
      </c>
    </row>
    <row r="7" spans="1:11" x14ac:dyDescent="0.25">
      <c r="A7" s="4"/>
      <c r="B7" s="5">
        <v>2</v>
      </c>
      <c r="C7" s="2">
        <v>35.85</v>
      </c>
      <c r="D7" s="2">
        <v>41.91</v>
      </c>
      <c r="E7" s="2">
        <v>40.01</v>
      </c>
      <c r="F7" s="2">
        <f>E7-C7</f>
        <v>4.1599999999999966</v>
      </c>
      <c r="G7" s="2">
        <f t="shared" si="0"/>
        <v>6.0599999999999952</v>
      </c>
      <c r="H7" s="6">
        <f t="shared" si="1"/>
        <v>1.4567307692307692</v>
      </c>
      <c r="I7" s="7"/>
      <c r="K7" s="1">
        <v>0.18152866242038224</v>
      </c>
    </row>
    <row r="8" spans="1:11" x14ac:dyDescent="0.25">
      <c r="A8" s="4">
        <v>4</v>
      </c>
      <c r="B8" s="5">
        <v>1</v>
      </c>
      <c r="C8" s="2">
        <v>38.54</v>
      </c>
      <c r="D8" s="2">
        <v>42.25</v>
      </c>
      <c r="E8" s="2">
        <v>41.68</v>
      </c>
      <c r="F8" s="2">
        <f t="shared" si="2"/>
        <v>3.1400000000000006</v>
      </c>
      <c r="G8" s="2">
        <f t="shared" si="0"/>
        <v>3.7100000000000009</v>
      </c>
      <c r="H8" s="6">
        <f t="shared" si="1"/>
        <v>1.1815286624203822</v>
      </c>
      <c r="I8" s="7">
        <f>AVERAGE(H8:H9)</f>
        <v>1.1552484581943179</v>
      </c>
      <c r="K8" s="1">
        <v>0.1289682539682537</v>
      </c>
    </row>
    <row r="9" spans="1:11" x14ac:dyDescent="0.25">
      <c r="A9" s="4"/>
      <c r="B9" s="5">
        <v>2</v>
      </c>
      <c r="C9" s="2">
        <v>35.85</v>
      </c>
      <c r="D9" s="2">
        <v>41.54</v>
      </c>
      <c r="E9" s="2">
        <v>40.89</v>
      </c>
      <c r="F9" s="2">
        <f t="shared" si="2"/>
        <v>5.0399999999999991</v>
      </c>
      <c r="G9" s="2">
        <f t="shared" si="0"/>
        <v>5.6899999999999977</v>
      </c>
      <c r="H9" s="6">
        <f t="shared" si="1"/>
        <v>1.1289682539682537</v>
      </c>
      <c r="I9" s="7"/>
    </row>
    <row r="10" spans="1:11" x14ac:dyDescent="0.25">
      <c r="H10" s="9" t="s">
        <v>0</v>
      </c>
      <c r="I10" s="6">
        <f>(I2+I4)/2</f>
        <v>1.7052151298585914</v>
      </c>
    </row>
    <row r="11" spans="1:11" x14ac:dyDescent="0.25">
      <c r="A11" s="2" t="s">
        <v>9</v>
      </c>
      <c r="B11" s="3" t="s">
        <v>3</v>
      </c>
    </row>
    <row r="12" spans="1:11" x14ac:dyDescent="0.25">
      <c r="A12" s="2">
        <v>10</v>
      </c>
      <c r="B12" s="2">
        <f>-0.124*(A12)+ 2.287</f>
        <v>1.0469999999999999</v>
      </c>
    </row>
    <row r="13" spans="1:11" x14ac:dyDescent="0.25">
      <c r="A13" s="2">
        <v>20</v>
      </c>
      <c r="B13" s="2">
        <f t="shared" ref="B13:B16" si="3">-0.124*(A13)+ 2.287</f>
        <v>-0.19300000000000006</v>
      </c>
    </row>
    <row r="14" spans="1:11" x14ac:dyDescent="0.25">
      <c r="A14" s="2">
        <v>30</v>
      </c>
      <c r="B14" s="2">
        <f t="shared" si="3"/>
        <v>-1.4329999999999998</v>
      </c>
    </row>
    <row r="15" spans="1:11" x14ac:dyDescent="0.25">
      <c r="A15" s="2">
        <v>40</v>
      </c>
      <c r="B15" s="2">
        <f t="shared" si="3"/>
        <v>-2.673</v>
      </c>
    </row>
    <row r="16" spans="1:11" x14ac:dyDescent="0.25">
      <c r="A16" s="2">
        <v>50</v>
      </c>
      <c r="B16" s="2">
        <f t="shared" si="3"/>
        <v>-3.9130000000000003</v>
      </c>
    </row>
    <row r="17" spans="1:3" x14ac:dyDescent="0.25">
      <c r="A17" s="2" t="s">
        <v>10</v>
      </c>
      <c r="B17" s="2">
        <f>AVERAGE(B12:B16)*-1</f>
        <v>1.4330000000000001</v>
      </c>
      <c r="C17" s="2" t="s">
        <v>11</v>
      </c>
    </row>
    <row r="18" spans="1:3" x14ac:dyDescent="0.25">
      <c r="A18" s="2"/>
      <c r="B18" s="2"/>
      <c r="C18" s="2"/>
    </row>
    <row r="19" spans="1:3" x14ac:dyDescent="0.25">
      <c r="A19" s="2" t="s">
        <v>12</v>
      </c>
      <c r="B19" s="11">
        <f>B17/1.85</f>
        <v>0.77459459459459457</v>
      </c>
      <c r="C19" s="2" t="s">
        <v>11</v>
      </c>
    </row>
  </sheetData>
  <mergeCells count="8">
    <mergeCell ref="A2:A3"/>
    <mergeCell ref="A4:A5"/>
    <mergeCell ref="A6:A7"/>
    <mergeCell ref="A8:A9"/>
    <mergeCell ref="I2:I3"/>
    <mergeCell ref="I4:I5"/>
    <mergeCell ref="I6:I7"/>
    <mergeCell ref="I8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yugcha</dc:creator>
  <cp:lastModifiedBy>josuedavidchavezzambrano89@gmail.com</cp:lastModifiedBy>
  <dcterms:created xsi:type="dcterms:W3CDTF">2026-07-27T14:28:21Z</dcterms:created>
  <dcterms:modified xsi:type="dcterms:W3CDTF">2026-07-30T04:19:03Z</dcterms:modified>
</cp:coreProperties>
</file>